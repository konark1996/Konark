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91964\Documents\FCTP_Experiments\"/>
    </mc:Choice>
  </mc:AlternateContent>
  <xr:revisionPtr revIDLastSave="0" documentId="8_{C057EF11-38A4-4B4F-91DE-A31B12B71FBC}" xr6:coauthVersionLast="47" xr6:coauthVersionMax="47" xr10:uidLastSave="{00000000-0000-0000-0000-000000000000}"/>
  <bookViews>
    <workbookView xWindow="-110" yWindow="-110" windowWidth="19420" windowHeight="10300" activeTab="4" xr2:uid="{00000000-000D-0000-FFFF-FFFF00000000}"/>
  </bookViews>
  <sheets>
    <sheet name="Summary" sheetId="1" r:id="rId1"/>
    <sheet name="IP_before" sheetId="2" r:id="rId2"/>
    <sheet name="LP_before" sheetId="3" r:id="rId3"/>
    <sheet name="IP_after" sheetId="4" r:id="rId4"/>
    <sheet name="LP_after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1" i="5" l="1"/>
  <c r="L12" i="5"/>
  <c r="L13" i="5"/>
  <c r="L10" i="5"/>
</calcChain>
</file>

<file path=xl/sharedStrings.xml><?xml version="1.0" encoding="utf-8"?>
<sst xmlns="http://schemas.openxmlformats.org/spreadsheetml/2006/main" count="155" uniqueCount="33">
  <si>
    <t>Metric</t>
  </si>
  <si>
    <t>Value</t>
  </si>
  <si>
    <t>IP Objective (before)</t>
  </si>
  <si>
    <t>LP Objective (before)</t>
  </si>
  <si>
    <t>Gap% (before)</t>
  </si>
  <si>
    <t>IP Time (before, s)</t>
  </si>
  <si>
    <t>LP Time (before, s)</t>
  </si>
  <si>
    <t>IP Objective (after)</t>
  </si>
  <si>
    <t>LP Objective (after)</t>
  </si>
  <si>
    <t>Gap% (after)</t>
  </si>
  <si>
    <t>IP Time (after, s)</t>
  </si>
  <si>
    <t>LP Time (after, s)</t>
  </si>
  <si>
    <t>Gap Before%</t>
  </si>
  <si>
    <t>Gap After%</t>
  </si>
  <si>
    <t>Gap Reduction%</t>
  </si>
  <si>
    <t>Source</t>
  </si>
  <si>
    <t>Sink</t>
  </si>
  <si>
    <t>FixedCost</t>
  </si>
  <si>
    <t>VariableCost</t>
  </si>
  <si>
    <t>a_i</t>
  </si>
  <si>
    <t>b_j</t>
  </si>
  <si>
    <t>profit_j</t>
  </si>
  <si>
    <t>B</t>
  </si>
  <si>
    <t>θ</t>
  </si>
  <si>
    <t>x_ij</t>
  </si>
  <si>
    <t>y_ij</t>
  </si>
  <si>
    <t>S1</t>
  </si>
  <si>
    <t>D1</t>
  </si>
  <si>
    <t>D2</t>
  </si>
  <si>
    <t>D3</t>
  </si>
  <si>
    <t>D4</t>
  </si>
  <si>
    <t>S2</t>
  </si>
  <si>
    <t>S3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</si>
</sst>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workbookViewId="0">
      <selection activeCell="A8" sqref="A8"/>
    </sheetView>
  </sheetViews>
  <sheetFormatPr defaultRowHeight="14.5" x14ac:dyDescent="0.35"/>
  <cols>
    <col min="1" max="1" width="15.08984375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>
        <v>2187.89</v>
      </c>
    </row>
    <row r="3" spans="1:2" x14ac:dyDescent="0.35">
      <c r="A3" t="s">
        <v>3</v>
      </c>
      <c r="B3">
        <v>2501.96</v>
      </c>
    </row>
    <row r="4" spans="1:2" x14ac:dyDescent="0.35">
      <c r="A4" t="s">
        <v>4</v>
      </c>
      <c r="B4">
        <v>14.354926435972571</v>
      </c>
    </row>
    <row r="5" spans="1:2" x14ac:dyDescent="0.35">
      <c r="A5" t="s">
        <v>5</v>
      </c>
      <c r="B5">
        <v>0.39</v>
      </c>
    </row>
    <row r="6" spans="1:2" x14ac:dyDescent="0.35">
      <c r="A6" t="s">
        <v>6</v>
      </c>
      <c r="B6">
        <v>9.5000000000000001E-2</v>
      </c>
    </row>
    <row r="7" spans="1:2" x14ac:dyDescent="0.35">
      <c r="A7" t="s">
        <v>7</v>
      </c>
      <c r="B7">
        <v>2187.89</v>
      </c>
    </row>
    <row r="8" spans="1:2" x14ac:dyDescent="0.35">
      <c r="A8" t="s">
        <v>8</v>
      </c>
      <c r="B8">
        <v>2395.983333333334</v>
      </c>
    </row>
    <row r="9" spans="1:2" x14ac:dyDescent="0.35">
      <c r="A9" t="s">
        <v>9</v>
      </c>
      <c r="B9">
        <v>9.5111423944226505</v>
      </c>
    </row>
    <row r="10" spans="1:2" x14ac:dyDescent="0.35">
      <c r="A10" t="s">
        <v>10</v>
      </c>
      <c r="B10">
        <v>0.22</v>
      </c>
    </row>
    <row r="11" spans="1:2" x14ac:dyDescent="0.35">
      <c r="A11" t="s">
        <v>11</v>
      </c>
      <c r="B11">
        <v>0.10299999999999999</v>
      </c>
    </row>
    <row r="12" spans="1:2" x14ac:dyDescent="0.35">
      <c r="A12" t="s">
        <v>12</v>
      </c>
      <c r="B12">
        <v>14.354926435972571</v>
      </c>
    </row>
    <row r="13" spans="1:2" x14ac:dyDescent="0.35">
      <c r="A13" t="s">
        <v>13</v>
      </c>
      <c r="B13">
        <v>9.5111423944226505</v>
      </c>
    </row>
    <row r="14" spans="1:2" x14ac:dyDescent="0.35">
      <c r="A14" t="s">
        <v>14</v>
      </c>
      <c r="B14">
        <v>4.8437840415499149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3"/>
  <sheetViews>
    <sheetView workbookViewId="0"/>
  </sheetViews>
  <sheetFormatPr defaultRowHeight="14.5" x14ac:dyDescent="0.35"/>
  <sheetData>
    <row r="1" spans="1:11" x14ac:dyDescent="0.35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</row>
    <row r="2" spans="1:11" x14ac:dyDescent="0.35">
      <c r="A2" t="s">
        <v>26</v>
      </c>
      <c r="B2" t="s">
        <v>27</v>
      </c>
      <c r="C2">
        <v>450</v>
      </c>
      <c r="D2">
        <v>61.75</v>
      </c>
      <c r="E2">
        <v>5</v>
      </c>
      <c r="F2">
        <v>4</v>
      </c>
      <c r="G2">
        <v>415</v>
      </c>
      <c r="H2">
        <v>10</v>
      </c>
      <c r="I2">
        <v>0.6</v>
      </c>
      <c r="J2">
        <v>0</v>
      </c>
      <c r="K2">
        <v>0</v>
      </c>
    </row>
    <row r="3" spans="1:11" x14ac:dyDescent="0.35">
      <c r="A3" t="s">
        <v>26</v>
      </c>
      <c r="B3" t="s">
        <v>28</v>
      </c>
      <c r="C3">
        <v>597</v>
      </c>
      <c r="D3">
        <v>156.18</v>
      </c>
      <c r="E3">
        <v>5</v>
      </c>
      <c r="F3">
        <v>4</v>
      </c>
      <c r="G3">
        <v>445</v>
      </c>
      <c r="H3">
        <v>10</v>
      </c>
      <c r="I3">
        <v>0.6</v>
      </c>
      <c r="J3">
        <v>0</v>
      </c>
      <c r="K3">
        <v>0</v>
      </c>
    </row>
    <row r="4" spans="1:11" x14ac:dyDescent="0.35">
      <c r="A4" t="s">
        <v>26</v>
      </c>
      <c r="B4" t="s">
        <v>29</v>
      </c>
      <c r="C4">
        <v>315</v>
      </c>
      <c r="D4">
        <v>130.43</v>
      </c>
      <c r="E4">
        <v>5</v>
      </c>
      <c r="F4">
        <v>4</v>
      </c>
      <c r="G4">
        <v>464</v>
      </c>
      <c r="H4">
        <v>10</v>
      </c>
      <c r="I4">
        <v>0.6</v>
      </c>
      <c r="J4">
        <v>4</v>
      </c>
      <c r="K4">
        <v>1</v>
      </c>
    </row>
    <row r="5" spans="1:11" x14ac:dyDescent="0.35">
      <c r="A5" t="s">
        <v>26</v>
      </c>
      <c r="B5" t="s">
        <v>30</v>
      </c>
      <c r="C5">
        <v>676</v>
      </c>
      <c r="D5">
        <v>173.08</v>
      </c>
      <c r="E5">
        <v>5</v>
      </c>
      <c r="F5">
        <v>1</v>
      </c>
      <c r="G5">
        <v>449</v>
      </c>
      <c r="H5">
        <v>10</v>
      </c>
      <c r="I5">
        <v>0.6</v>
      </c>
      <c r="J5">
        <v>0</v>
      </c>
      <c r="K5">
        <v>0</v>
      </c>
    </row>
    <row r="6" spans="1:11" x14ac:dyDescent="0.35">
      <c r="A6" t="s">
        <v>31</v>
      </c>
      <c r="B6" t="s">
        <v>27</v>
      </c>
      <c r="C6">
        <v>706</v>
      </c>
      <c r="D6">
        <v>120.18</v>
      </c>
      <c r="E6">
        <v>1</v>
      </c>
      <c r="F6">
        <v>4</v>
      </c>
      <c r="G6">
        <v>415</v>
      </c>
      <c r="H6">
        <v>10</v>
      </c>
      <c r="I6">
        <v>0.6</v>
      </c>
      <c r="J6">
        <v>0</v>
      </c>
      <c r="K6">
        <v>0</v>
      </c>
    </row>
    <row r="7" spans="1:11" x14ac:dyDescent="0.35">
      <c r="A7" t="s">
        <v>31</v>
      </c>
      <c r="B7" t="s">
        <v>28</v>
      </c>
      <c r="C7">
        <v>719</v>
      </c>
      <c r="D7">
        <v>104.12</v>
      </c>
      <c r="E7">
        <v>1</v>
      </c>
      <c r="F7">
        <v>4</v>
      </c>
      <c r="G7">
        <v>445</v>
      </c>
      <c r="H7">
        <v>10</v>
      </c>
      <c r="I7">
        <v>0.6</v>
      </c>
      <c r="J7">
        <v>0</v>
      </c>
      <c r="K7">
        <v>0</v>
      </c>
    </row>
    <row r="8" spans="1:11" x14ac:dyDescent="0.35">
      <c r="A8" t="s">
        <v>31</v>
      </c>
      <c r="B8" t="s">
        <v>29</v>
      </c>
      <c r="C8">
        <v>613</v>
      </c>
      <c r="D8">
        <v>87.78</v>
      </c>
      <c r="E8">
        <v>1</v>
      </c>
      <c r="F8">
        <v>4</v>
      </c>
      <c r="G8">
        <v>464</v>
      </c>
      <c r="H8">
        <v>10</v>
      </c>
      <c r="I8">
        <v>0.6</v>
      </c>
      <c r="J8">
        <v>0</v>
      </c>
      <c r="K8">
        <v>0</v>
      </c>
    </row>
    <row r="9" spans="1:11" x14ac:dyDescent="0.35">
      <c r="A9" t="s">
        <v>31</v>
      </c>
      <c r="B9" t="s">
        <v>30</v>
      </c>
      <c r="C9">
        <v>689</v>
      </c>
      <c r="D9">
        <v>212.68</v>
      </c>
      <c r="E9">
        <v>1</v>
      </c>
      <c r="F9">
        <v>1</v>
      </c>
      <c r="G9">
        <v>449</v>
      </c>
      <c r="H9">
        <v>10</v>
      </c>
      <c r="I9">
        <v>0.6</v>
      </c>
      <c r="J9">
        <v>0</v>
      </c>
      <c r="K9">
        <v>0</v>
      </c>
    </row>
    <row r="10" spans="1:11" x14ac:dyDescent="0.35">
      <c r="A10" t="s">
        <v>32</v>
      </c>
      <c r="B10" t="s">
        <v>27</v>
      </c>
      <c r="C10">
        <v>268</v>
      </c>
      <c r="D10">
        <v>96.92</v>
      </c>
      <c r="E10">
        <v>7</v>
      </c>
      <c r="F10">
        <v>4</v>
      </c>
      <c r="G10">
        <v>415</v>
      </c>
      <c r="H10">
        <v>10</v>
      </c>
      <c r="I10">
        <v>0.6</v>
      </c>
      <c r="J10">
        <v>4</v>
      </c>
      <c r="K10">
        <v>1</v>
      </c>
    </row>
    <row r="11" spans="1:11" x14ac:dyDescent="0.35">
      <c r="A11" t="s">
        <v>32</v>
      </c>
      <c r="B11" t="s">
        <v>28</v>
      </c>
      <c r="C11">
        <v>698</v>
      </c>
      <c r="D11">
        <v>157.57</v>
      </c>
      <c r="E11">
        <v>7</v>
      </c>
      <c r="F11">
        <v>4</v>
      </c>
      <c r="G11">
        <v>445</v>
      </c>
      <c r="H11">
        <v>10</v>
      </c>
      <c r="I11">
        <v>0.6</v>
      </c>
      <c r="J11">
        <v>3</v>
      </c>
      <c r="K11">
        <v>1</v>
      </c>
    </row>
    <row r="12" spans="1:11" x14ac:dyDescent="0.35">
      <c r="A12" t="s">
        <v>32</v>
      </c>
      <c r="B12" t="s">
        <v>29</v>
      </c>
      <c r="C12">
        <v>458</v>
      </c>
      <c r="D12">
        <v>145.66</v>
      </c>
      <c r="E12">
        <v>7</v>
      </c>
      <c r="F12">
        <v>4</v>
      </c>
      <c r="G12">
        <v>464</v>
      </c>
      <c r="H12">
        <v>10</v>
      </c>
      <c r="I12">
        <v>0.6</v>
      </c>
      <c r="J12">
        <v>0</v>
      </c>
      <c r="K12">
        <v>0</v>
      </c>
    </row>
    <row r="13" spans="1:11" x14ac:dyDescent="0.35">
      <c r="A13" t="s">
        <v>32</v>
      </c>
      <c r="B13" t="s">
        <v>30</v>
      </c>
      <c r="C13">
        <v>358</v>
      </c>
      <c r="D13">
        <v>208.25</v>
      </c>
      <c r="E13">
        <v>7</v>
      </c>
      <c r="F13">
        <v>1</v>
      </c>
      <c r="G13">
        <v>449</v>
      </c>
      <c r="H13">
        <v>10</v>
      </c>
      <c r="I13">
        <v>0.6</v>
      </c>
      <c r="J13">
        <v>0</v>
      </c>
      <c r="K13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3"/>
  <sheetViews>
    <sheetView workbookViewId="0"/>
  </sheetViews>
  <sheetFormatPr defaultRowHeight="14.5" x14ac:dyDescent="0.35"/>
  <sheetData>
    <row r="1" spans="1:11" x14ac:dyDescent="0.35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</row>
    <row r="2" spans="1:11" x14ac:dyDescent="0.35">
      <c r="A2" t="s">
        <v>26</v>
      </c>
      <c r="B2" t="s">
        <v>27</v>
      </c>
      <c r="C2">
        <v>450</v>
      </c>
      <c r="D2">
        <v>61.75</v>
      </c>
      <c r="E2">
        <v>5</v>
      </c>
      <c r="F2">
        <v>4</v>
      </c>
      <c r="G2">
        <v>415</v>
      </c>
      <c r="H2">
        <v>10</v>
      </c>
      <c r="I2">
        <v>0.6</v>
      </c>
      <c r="J2">
        <v>0</v>
      </c>
      <c r="K2">
        <v>0</v>
      </c>
    </row>
    <row r="3" spans="1:11" x14ac:dyDescent="0.35">
      <c r="A3" t="s">
        <v>26</v>
      </c>
      <c r="B3" t="s">
        <v>28</v>
      </c>
      <c r="C3">
        <v>597</v>
      </c>
      <c r="D3">
        <v>156.18</v>
      </c>
      <c r="E3">
        <v>5</v>
      </c>
      <c r="F3">
        <v>4</v>
      </c>
      <c r="G3">
        <v>445</v>
      </c>
      <c r="H3">
        <v>10</v>
      </c>
      <c r="I3">
        <v>0.6</v>
      </c>
      <c r="J3">
        <v>1</v>
      </c>
      <c r="K3">
        <v>0.25</v>
      </c>
    </row>
    <row r="4" spans="1:11" x14ac:dyDescent="0.35">
      <c r="A4" t="s">
        <v>26</v>
      </c>
      <c r="B4" t="s">
        <v>29</v>
      </c>
      <c r="C4">
        <v>315</v>
      </c>
      <c r="D4">
        <v>130.43</v>
      </c>
      <c r="E4">
        <v>5</v>
      </c>
      <c r="F4">
        <v>4</v>
      </c>
      <c r="G4">
        <v>464</v>
      </c>
      <c r="H4">
        <v>10</v>
      </c>
      <c r="I4">
        <v>0.6</v>
      </c>
      <c r="J4">
        <v>4</v>
      </c>
      <c r="K4">
        <v>1</v>
      </c>
    </row>
    <row r="5" spans="1:11" x14ac:dyDescent="0.35">
      <c r="A5" t="s">
        <v>26</v>
      </c>
      <c r="B5" t="s">
        <v>30</v>
      </c>
      <c r="C5">
        <v>676</v>
      </c>
      <c r="D5">
        <v>173.08</v>
      </c>
      <c r="E5">
        <v>5</v>
      </c>
      <c r="F5">
        <v>1</v>
      </c>
      <c r="G5">
        <v>449</v>
      </c>
      <c r="H5">
        <v>10</v>
      </c>
      <c r="I5">
        <v>0.6</v>
      </c>
      <c r="J5">
        <v>0</v>
      </c>
      <c r="K5">
        <v>0</v>
      </c>
    </row>
    <row r="6" spans="1:11" x14ac:dyDescent="0.35">
      <c r="A6" t="s">
        <v>31</v>
      </c>
      <c r="B6" t="s">
        <v>27</v>
      </c>
      <c r="C6">
        <v>706</v>
      </c>
      <c r="D6">
        <v>120.18</v>
      </c>
      <c r="E6">
        <v>1</v>
      </c>
      <c r="F6">
        <v>4</v>
      </c>
      <c r="G6">
        <v>415</v>
      </c>
      <c r="H6">
        <v>10</v>
      </c>
      <c r="I6">
        <v>0.6</v>
      </c>
      <c r="J6">
        <v>0</v>
      </c>
      <c r="K6">
        <v>0</v>
      </c>
    </row>
    <row r="7" spans="1:11" x14ac:dyDescent="0.35">
      <c r="A7" t="s">
        <v>31</v>
      </c>
      <c r="B7" t="s">
        <v>28</v>
      </c>
      <c r="C7">
        <v>719</v>
      </c>
      <c r="D7">
        <v>104.12</v>
      </c>
      <c r="E7">
        <v>1</v>
      </c>
      <c r="F7">
        <v>4</v>
      </c>
      <c r="G7">
        <v>445</v>
      </c>
      <c r="H7">
        <v>10</v>
      </c>
      <c r="I7">
        <v>0.6</v>
      </c>
      <c r="J7">
        <v>0</v>
      </c>
      <c r="K7">
        <v>0</v>
      </c>
    </row>
    <row r="8" spans="1:11" x14ac:dyDescent="0.35">
      <c r="A8" t="s">
        <v>31</v>
      </c>
      <c r="B8" t="s">
        <v>29</v>
      </c>
      <c r="C8">
        <v>613</v>
      </c>
      <c r="D8">
        <v>87.78</v>
      </c>
      <c r="E8">
        <v>1</v>
      </c>
      <c r="F8">
        <v>4</v>
      </c>
      <c r="G8">
        <v>464</v>
      </c>
      <c r="H8">
        <v>10</v>
      </c>
      <c r="I8">
        <v>0.6</v>
      </c>
      <c r="J8">
        <v>0</v>
      </c>
      <c r="K8">
        <v>0</v>
      </c>
    </row>
    <row r="9" spans="1:11" x14ac:dyDescent="0.35">
      <c r="A9" t="s">
        <v>31</v>
      </c>
      <c r="B9" t="s">
        <v>30</v>
      </c>
      <c r="C9">
        <v>689</v>
      </c>
      <c r="D9">
        <v>212.68</v>
      </c>
      <c r="E9">
        <v>1</v>
      </c>
      <c r="F9">
        <v>1</v>
      </c>
      <c r="G9">
        <v>449</v>
      </c>
      <c r="H9">
        <v>10</v>
      </c>
      <c r="I9">
        <v>0.6</v>
      </c>
      <c r="J9">
        <v>0</v>
      </c>
      <c r="K9">
        <v>0</v>
      </c>
    </row>
    <row r="10" spans="1:11" x14ac:dyDescent="0.35">
      <c r="A10" t="s">
        <v>32</v>
      </c>
      <c r="B10" t="s">
        <v>27</v>
      </c>
      <c r="C10">
        <v>268</v>
      </c>
      <c r="D10">
        <v>96.92</v>
      </c>
      <c r="E10">
        <v>7</v>
      </c>
      <c r="F10">
        <v>4</v>
      </c>
      <c r="G10">
        <v>415</v>
      </c>
      <c r="H10">
        <v>10</v>
      </c>
      <c r="I10">
        <v>0.6</v>
      </c>
      <c r="J10">
        <v>4</v>
      </c>
      <c r="K10">
        <v>1</v>
      </c>
    </row>
    <row r="11" spans="1:11" x14ac:dyDescent="0.35">
      <c r="A11" t="s">
        <v>32</v>
      </c>
      <c r="B11" t="s">
        <v>28</v>
      </c>
      <c r="C11">
        <v>698</v>
      </c>
      <c r="D11">
        <v>157.57</v>
      </c>
      <c r="E11">
        <v>7</v>
      </c>
      <c r="F11">
        <v>4</v>
      </c>
      <c r="G11">
        <v>445</v>
      </c>
      <c r="H11">
        <v>10</v>
      </c>
      <c r="I11">
        <v>0.6</v>
      </c>
      <c r="J11">
        <v>3</v>
      </c>
      <c r="K11">
        <v>0.75</v>
      </c>
    </row>
    <row r="12" spans="1:11" x14ac:dyDescent="0.35">
      <c r="A12" t="s">
        <v>32</v>
      </c>
      <c r="B12" t="s">
        <v>29</v>
      </c>
      <c r="C12">
        <v>458</v>
      </c>
      <c r="D12">
        <v>145.66</v>
      </c>
      <c r="E12">
        <v>7</v>
      </c>
      <c r="F12">
        <v>4</v>
      </c>
      <c r="G12">
        <v>464</v>
      </c>
      <c r="H12">
        <v>10</v>
      </c>
      <c r="I12">
        <v>0.6</v>
      </c>
      <c r="J12">
        <v>0</v>
      </c>
      <c r="K12">
        <v>0</v>
      </c>
    </row>
    <row r="13" spans="1:11" x14ac:dyDescent="0.35">
      <c r="A13" t="s">
        <v>32</v>
      </c>
      <c r="B13" t="s">
        <v>30</v>
      </c>
      <c r="C13">
        <v>358</v>
      </c>
      <c r="D13">
        <v>208.25</v>
      </c>
      <c r="E13">
        <v>7</v>
      </c>
      <c r="F13">
        <v>1</v>
      </c>
      <c r="G13">
        <v>449</v>
      </c>
      <c r="H13">
        <v>10</v>
      </c>
      <c r="I13">
        <v>0.6</v>
      </c>
      <c r="J13">
        <v>0</v>
      </c>
      <c r="K13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3"/>
  <sheetViews>
    <sheetView workbookViewId="0"/>
  </sheetViews>
  <sheetFormatPr defaultRowHeight="14.5" x14ac:dyDescent="0.35"/>
  <sheetData>
    <row r="1" spans="1:11" x14ac:dyDescent="0.35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</row>
    <row r="2" spans="1:11" x14ac:dyDescent="0.35">
      <c r="A2" t="s">
        <v>26</v>
      </c>
      <c r="B2" t="s">
        <v>27</v>
      </c>
      <c r="C2">
        <v>450</v>
      </c>
      <c r="D2">
        <v>61.75</v>
      </c>
      <c r="E2">
        <v>5</v>
      </c>
      <c r="F2">
        <v>4</v>
      </c>
      <c r="G2">
        <v>415</v>
      </c>
      <c r="H2">
        <v>10</v>
      </c>
      <c r="I2">
        <v>0.6</v>
      </c>
      <c r="J2">
        <v>0</v>
      </c>
      <c r="K2">
        <v>0</v>
      </c>
    </row>
    <row r="3" spans="1:11" x14ac:dyDescent="0.35">
      <c r="A3" t="s">
        <v>26</v>
      </c>
      <c r="B3" t="s">
        <v>28</v>
      </c>
      <c r="C3">
        <v>597</v>
      </c>
      <c r="D3">
        <v>156.18</v>
      </c>
      <c r="E3">
        <v>5</v>
      </c>
      <c r="F3">
        <v>4</v>
      </c>
      <c r="G3">
        <v>445</v>
      </c>
      <c r="H3">
        <v>10</v>
      </c>
      <c r="I3">
        <v>0.6</v>
      </c>
      <c r="J3">
        <v>0</v>
      </c>
      <c r="K3">
        <v>0</v>
      </c>
    </row>
    <row r="4" spans="1:11" x14ac:dyDescent="0.35">
      <c r="A4" t="s">
        <v>26</v>
      </c>
      <c r="B4" t="s">
        <v>29</v>
      </c>
      <c r="C4">
        <v>315</v>
      </c>
      <c r="D4">
        <v>130.43</v>
      </c>
      <c r="E4">
        <v>5</v>
      </c>
      <c r="F4">
        <v>4</v>
      </c>
      <c r="G4">
        <v>464</v>
      </c>
      <c r="H4">
        <v>10</v>
      </c>
      <c r="I4">
        <v>0.6</v>
      </c>
      <c r="J4">
        <v>4</v>
      </c>
      <c r="K4">
        <v>1</v>
      </c>
    </row>
    <row r="5" spans="1:11" x14ac:dyDescent="0.35">
      <c r="A5" t="s">
        <v>26</v>
      </c>
      <c r="B5" t="s">
        <v>30</v>
      </c>
      <c r="C5">
        <v>676</v>
      </c>
      <c r="D5">
        <v>173.08</v>
      </c>
      <c r="E5">
        <v>5</v>
      </c>
      <c r="F5">
        <v>1</v>
      </c>
      <c r="G5">
        <v>449</v>
      </c>
      <c r="H5">
        <v>10</v>
      </c>
      <c r="I5">
        <v>0.6</v>
      </c>
      <c r="J5">
        <v>0</v>
      </c>
      <c r="K5">
        <v>0</v>
      </c>
    </row>
    <row r="6" spans="1:11" x14ac:dyDescent="0.35">
      <c r="A6" t="s">
        <v>31</v>
      </c>
      <c r="B6" t="s">
        <v>27</v>
      </c>
      <c r="C6">
        <v>706</v>
      </c>
      <c r="D6">
        <v>120.18</v>
      </c>
      <c r="E6">
        <v>1</v>
      </c>
      <c r="F6">
        <v>4</v>
      </c>
      <c r="G6">
        <v>415</v>
      </c>
      <c r="H6">
        <v>10</v>
      </c>
      <c r="I6">
        <v>0.6</v>
      </c>
      <c r="J6">
        <v>0</v>
      </c>
      <c r="K6">
        <v>0</v>
      </c>
    </row>
    <row r="7" spans="1:11" x14ac:dyDescent="0.35">
      <c r="A7" t="s">
        <v>31</v>
      </c>
      <c r="B7" t="s">
        <v>28</v>
      </c>
      <c r="C7">
        <v>719</v>
      </c>
      <c r="D7">
        <v>104.12</v>
      </c>
      <c r="E7">
        <v>1</v>
      </c>
      <c r="F7">
        <v>4</v>
      </c>
      <c r="G7">
        <v>445</v>
      </c>
      <c r="H7">
        <v>10</v>
      </c>
      <c r="I7">
        <v>0.6</v>
      </c>
      <c r="J7">
        <v>0</v>
      </c>
      <c r="K7">
        <v>0</v>
      </c>
    </row>
    <row r="8" spans="1:11" x14ac:dyDescent="0.35">
      <c r="A8" t="s">
        <v>31</v>
      </c>
      <c r="B8" t="s">
        <v>29</v>
      </c>
      <c r="C8">
        <v>613</v>
      </c>
      <c r="D8">
        <v>87.78</v>
      </c>
      <c r="E8">
        <v>1</v>
      </c>
      <c r="F8">
        <v>4</v>
      </c>
      <c r="G8">
        <v>464</v>
      </c>
      <c r="H8">
        <v>10</v>
      </c>
      <c r="I8">
        <v>0.6</v>
      </c>
      <c r="J8">
        <v>0</v>
      </c>
      <c r="K8">
        <v>0</v>
      </c>
    </row>
    <row r="9" spans="1:11" x14ac:dyDescent="0.35">
      <c r="A9" t="s">
        <v>31</v>
      </c>
      <c r="B9" t="s">
        <v>30</v>
      </c>
      <c r="C9">
        <v>689</v>
      </c>
      <c r="D9">
        <v>212.68</v>
      </c>
      <c r="E9">
        <v>1</v>
      </c>
      <c r="F9">
        <v>1</v>
      </c>
      <c r="G9">
        <v>449</v>
      </c>
      <c r="H9">
        <v>10</v>
      </c>
      <c r="I9">
        <v>0.6</v>
      </c>
      <c r="J9">
        <v>0</v>
      </c>
      <c r="K9">
        <v>0</v>
      </c>
    </row>
    <row r="10" spans="1:11" x14ac:dyDescent="0.35">
      <c r="A10" t="s">
        <v>32</v>
      </c>
      <c r="B10" t="s">
        <v>27</v>
      </c>
      <c r="C10">
        <v>268</v>
      </c>
      <c r="D10">
        <v>96.92</v>
      </c>
      <c r="E10">
        <v>7</v>
      </c>
      <c r="F10">
        <v>4</v>
      </c>
      <c r="G10">
        <v>415</v>
      </c>
      <c r="H10">
        <v>10</v>
      </c>
      <c r="I10">
        <v>0.6</v>
      </c>
      <c r="J10">
        <v>4</v>
      </c>
      <c r="K10">
        <v>1</v>
      </c>
    </row>
    <row r="11" spans="1:11" x14ac:dyDescent="0.35">
      <c r="A11" t="s">
        <v>32</v>
      </c>
      <c r="B11" t="s">
        <v>28</v>
      </c>
      <c r="C11">
        <v>698</v>
      </c>
      <c r="D11">
        <v>157.57</v>
      </c>
      <c r="E11">
        <v>7</v>
      </c>
      <c r="F11">
        <v>4</v>
      </c>
      <c r="G11">
        <v>445</v>
      </c>
      <c r="H11">
        <v>10</v>
      </c>
      <c r="I11">
        <v>0.6</v>
      </c>
      <c r="J11">
        <v>3</v>
      </c>
      <c r="K11">
        <v>1</v>
      </c>
    </row>
    <row r="12" spans="1:11" x14ac:dyDescent="0.35">
      <c r="A12" t="s">
        <v>32</v>
      </c>
      <c r="B12" t="s">
        <v>29</v>
      </c>
      <c r="C12">
        <v>458</v>
      </c>
      <c r="D12">
        <v>145.66</v>
      </c>
      <c r="E12">
        <v>7</v>
      </c>
      <c r="F12">
        <v>4</v>
      </c>
      <c r="G12">
        <v>464</v>
      </c>
      <c r="H12">
        <v>10</v>
      </c>
      <c r="I12">
        <v>0.6</v>
      </c>
      <c r="J12">
        <v>0</v>
      </c>
      <c r="K12">
        <v>0</v>
      </c>
    </row>
    <row r="13" spans="1:11" x14ac:dyDescent="0.35">
      <c r="A13" t="s">
        <v>32</v>
      </c>
      <c r="B13" t="s">
        <v>30</v>
      </c>
      <c r="C13">
        <v>358</v>
      </c>
      <c r="D13">
        <v>208.25</v>
      </c>
      <c r="E13">
        <v>7</v>
      </c>
      <c r="F13">
        <v>1</v>
      </c>
      <c r="G13">
        <v>449</v>
      </c>
      <c r="H13">
        <v>10</v>
      </c>
      <c r="I13">
        <v>0.6</v>
      </c>
      <c r="J13">
        <v>0</v>
      </c>
      <c r="K13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3"/>
  <sheetViews>
    <sheetView tabSelected="1" workbookViewId="0">
      <selection activeCell="L16" sqref="L16"/>
    </sheetView>
  </sheetViews>
  <sheetFormatPr defaultRowHeight="14.5" x14ac:dyDescent="0.35"/>
  <sheetData>
    <row r="1" spans="1:12" x14ac:dyDescent="0.35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</row>
    <row r="2" spans="1:12" x14ac:dyDescent="0.35">
      <c r="A2" t="s">
        <v>26</v>
      </c>
      <c r="B2" t="s">
        <v>27</v>
      </c>
      <c r="C2">
        <v>450</v>
      </c>
      <c r="D2">
        <v>61.75</v>
      </c>
      <c r="E2">
        <v>5</v>
      </c>
      <c r="F2">
        <v>4</v>
      </c>
      <c r="G2">
        <v>415</v>
      </c>
      <c r="H2">
        <v>10</v>
      </c>
      <c r="I2">
        <v>0.6</v>
      </c>
      <c r="J2">
        <v>1</v>
      </c>
      <c r="K2">
        <v>0.25</v>
      </c>
    </row>
    <row r="3" spans="1:12" x14ac:dyDescent="0.35">
      <c r="A3" t="s">
        <v>26</v>
      </c>
      <c r="B3" t="s">
        <v>28</v>
      </c>
      <c r="C3">
        <v>597</v>
      </c>
      <c r="D3">
        <v>156.18</v>
      </c>
      <c r="E3">
        <v>5</v>
      </c>
      <c r="F3">
        <v>4</v>
      </c>
      <c r="G3">
        <v>445</v>
      </c>
      <c r="H3">
        <v>10</v>
      </c>
      <c r="I3">
        <v>0.6</v>
      </c>
      <c r="J3">
        <v>1</v>
      </c>
      <c r="K3">
        <v>0.25</v>
      </c>
    </row>
    <row r="4" spans="1:12" x14ac:dyDescent="0.35">
      <c r="A4" t="s">
        <v>26</v>
      </c>
      <c r="B4" t="s">
        <v>29</v>
      </c>
      <c r="C4">
        <v>315</v>
      </c>
      <c r="D4">
        <v>130.43</v>
      </c>
      <c r="E4">
        <v>5</v>
      </c>
      <c r="F4">
        <v>4</v>
      </c>
      <c r="G4">
        <v>464</v>
      </c>
      <c r="H4">
        <v>10</v>
      </c>
      <c r="I4">
        <v>0.6</v>
      </c>
      <c r="J4">
        <v>3</v>
      </c>
      <c r="K4">
        <v>0.75</v>
      </c>
    </row>
    <row r="5" spans="1:12" x14ac:dyDescent="0.35">
      <c r="A5" t="s">
        <v>26</v>
      </c>
      <c r="B5" t="s">
        <v>30</v>
      </c>
      <c r="C5">
        <v>676</v>
      </c>
      <c r="D5">
        <v>173.08</v>
      </c>
      <c r="E5">
        <v>5</v>
      </c>
      <c r="F5">
        <v>1</v>
      </c>
      <c r="G5">
        <v>449</v>
      </c>
      <c r="H5">
        <v>10</v>
      </c>
      <c r="I5">
        <v>0.6</v>
      </c>
      <c r="J5">
        <v>0</v>
      </c>
      <c r="K5">
        <v>0</v>
      </c>
    </row>
    <row r="6" spans="1:12" x14ac:dyDescent="0.35">
      <c r="A6" t="s">
        <v>31</v>
      </c>
      <c r="B6" t="s">
        <v>27</v>
      </c>
      <c r="C6">
        <v>706</v>
      </c>
      <c r="D6">
        <v>120.18</v>
      </c>
      <c r="E6">
        <v>1</v>
      </c>
      <c r="F6">
        <v>4</v>
      </c>
      <c r="G6">
        <v>415</v>
      </c>
      <c r="H6">
        <v>10</v>
      </c>
      <c r="I6">
        <v>0.6</v>
      </c>
      <c r="J6">
        <v>0</v>
      </c>
      <c r="K6">
        <v>0</v>
      </c>
    </row>
    <row r="7" spans="1:12" x14ac:dyDescent="0.35">
      <c r="A7" t="s">
        <v>31</v>
      </c>
      <c r="B7" t="s">
        <v>28</v>
      </c>
      <c r="C7">
        <v>719</v>
      </c>
      <c r="D7">
        <v>104.12</v>
      </c>
      <c r="E7">
        <v>1</v>
      </c>
      <c r="F7">
        <v>4</v>
      </c>
      <c r="G7">
        <v>445</v>
      </c>
      <c r="H7">
        <v>10</v>
      </c>
      <c r="I7">
        <v>0.6</v>
      </c>
      <c r="J7">
        <v>0</v>
      </c>
      <c r="K7">
        <v>0</v>
      </c>
    </row>
    <row r="8" spans="1:12" x14ac:dyDescent="0.35">
      <c r="A8" t="s">
        <v>31</v>
      </c>
      <c r="B8" t="s">
        <v>29</v>
      </c>
      <c r="C8">
        <v>613</v>
      </c>
      <c r="D8">
        <v>87.78</v>
      </c>
      <c r="E8">
        <v>1</v>
      </c>
      <c r="F8">
        <v>4</v>
      </c>
      <c r="G8">
        <v>464</v>
      </c>
      <c r="H8">
        <v>10</v>
      </c>
      <c r="I8">
        <v>0.6</v>
      </c>
      <c r="J8">
        <v>0</v>
      </c>
      <c r="K8">
        <v>0</v>
      </c>
    </row>
    <row r="9" spans="1:12" x14ac:dyDescent="0.35">
      <c r="A9" t="s">
        <v>31</v>
      </c>
      <c r="B9" t="s">
        <v>30</v>
      </c>
      <c r="C9">
        <v>689</v>
      </c>
      <c r="D9">
        <v>212.68</v>
      </c>
      <c r="E9">
        <v>1</v>
      </c>
      <c r="F9">
        <v>1</v>
      </c>
      <c r="G9">
        <v>449</v>
      </c>
      <c r="H9">
        <v>10</v>
      </c>
      <c r="I9">
        <v>0.6</v>
      </c>
      <c r="J9">
        <v>0</v>
      </c>
      <c r="K9">
        <v>0</v>
      </c>
    </row>
    <row r="10" spans="1:12" x14ac:dyDescent="0.35">
      <c r="A10" t="s">
        <v>32</v>
      </c>
      <c r="B10" t="s">
        <v>27</v>
      </c>
      <c r="C10">
        <v>268</v>
      </c>
      <c r="D10">
        <v>96.92</v>
      </c>
      <c r="E10">
        <v>7</v>
      </c>
      <c r="F10">
        <v>4</v>
      </c>
      <c r="G10">
        <v>415</v>
      </c>
      <c r="H10">
        <v>10</v>
      </c>
      <c r="I10">
        <v>0.6</v>
      </c>
      <c r="J10">
        <v>3</v>
      </c>
      <c r="K10">
        <v>0.91666666666666674</v>
      </c>
      <c r="L10">
        <f>1-K10</f>
        <v>8.3333333333333259E-2</v>
      </c>
    </row>
    <row r="11" spans="1:12" x14ac:dyDescent="0.35">
      <c r="A11" t="s">
        <v>32</v>
      </c>
      <c r="B11" t="s">
        <v>28</v>
      </c>
      <c r="C11">
        <v>698</v>
      </c>
      <c r="D11">
        <v>157.57</v>
      </c>
      <c r="E11">
        <v>7</v>
      </c>
      <c r="F11">
        <v>4</v>
      </c>
      <c r="G11">
        <v>445</v>
      </c>
      <c r="H11">
        <v>10</v>
      </c>
      <c r="I11">
        <v>0.6</v>
      </c>
      <c r="J11">
        <v>3</v>
      </c>
      <c r="K11">
        <v>0.75</v>
      </c>
      <c r="L11">
        <f t="shared" ref="L11:L13" si="0">1-K11</f>
        <v>0.25</v>
      </c>
    </row>
    <row r="12" spans="1:12" x14ac:dyDescent="0.35">
      <c r="A12" t="s">
        <v>32</v>
      </c>
      <c r="B12" t="s">
        <v>29</v>
      </c>
      <c r="C12">
        <v>458</v>
      </c>
      <c r="D12">
        <v>145.66</v>
      </c>
      <c r="E12">
        <v>7</v>
      </c>
      <c r="F12">
        <v>4</v>
      </c>
      <c r="G12">
        <v>464</v>
      </c>
      <c r="H12">
        <v>10</v>
      </c>
      <c r="I12">
        <v>0.6</v>
      </c>
      <c r="J12">
        <v>1</v>
      </c>
      <c r="K12">
        <v>0.25</v>
      </c>
      <c r="L12">
        <f t="shared" si="0"/>
        <v>0.75</v>
      </c>
    </row>
    <row r="13" spans="1:12" x14ac:dyDescent="0.35">
      <c r="A13" t="s">
        <v>32</v>
      </c>
      <c r="B13" t="s">
        <v>30</v>
      </c>
      <c r="C13">
        <v>358</v>
      </c>
      <c r="D13">
        <v>208.25</v>
      </c>
      <c r="E13">
        <v>7</v>
      </c>
      <c r="F13">
        <v>1</v>
      </c>
      <c r="G13">
        <v>449</v>
      </c>
      <c r="H13">
        <v>10</v>
      </c>
      <c r="I13">
        <v>0.6</v>
      </c>
      <c r="J13">
        <v>0</v>
      </c>
      <c r="K13">
        <v>0</v>
      </c>
      <c r="L13">
        <f t="shared" si="0"/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IP_before</vt:lpstr>
      <vt:lpstr>LP_before</vt:lpstr>
      <vt:lpstr>IP_after</vt:lpstr>
      <vt:lpstr>LP_after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KONARK RAKESH</cp:lastModifiedBy>
  <dcterms:created xsi:type="dcterms:W3CDTF">2025-12-24T14:01:20Z</dcterms:created>
  <dcterms:modified xsi:type="dcterms:W3CDTF">2025-12-24T14:12:19Z</dcterms:modified>
</cp:coreProperties>
</file>